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f8f1116234132d/Dokumenti/"/>
    </mc:Choice>
  </mc:AlternateContent>
  <xr:revisionPtr revIDLastSave="0" documentId="8_{D7A9885A-A078-4D71-8ADD-5E05ED3DB277}" xr6:coauthVersionLast="47" xr6:coauthVersionMax="47" xr10:uidLastSave="{00000000-0000-0000-0000-000000000000}"/>
  <bookViews>
    <workbookView xWindow="-108" yWindow="-108" windowWidth="23256" windowHeight="12456" xr2:uid="{D82030A0-1F52-48FE-84AC-68834364A056}"/>
  </bookViews>
  <sheets>
    <sheet name="Analiza izvedivosti" sheetId="1" r:id="rId1"/>
    <sheet name="Analiza troškov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3" i="2" l="1"/>
  <c r="D22" i="2"/>
  <c r="D21" i="2"/>
  <c r="D12" i="2"/>
  <c r="D11" i="2"/>
  <c r="D7" i="2"/>
  <c r="D6" i="2"/>
  <c r="D5" i="2"/>
  <c r="K16" i="1"/>
  <c r="J16" i="1"/>
  <c r="I16" i="1"/>
  <c r="H16" i="1"/>
  <c r="G16" i="1"/>
  <c r="F16" i="1"/>
  <c r="E16" i="1"/>
  <c r="D16" i="1"/>
  <c r="C16" i="1"/>
  <c r="K11" i="1"/>
  <c r="J11" i="1"/>
  <c r="I11" i="1"/>
  <c r="H11" i="1"/>
  <c r="G11" i="1"/>
  <c r="F11" i="1"/>
  <c r="E11" i="1"/>
  <c r="D11" i="1"/>
  <c r="C11" i="1"/>
  <c r="K6" i="1"/>
  <c r="J6" i="1"/>
  <c r="I6" i="1"/>
  <c r="H6" i="1"/>
  <c r="G6" i="1"/>
  <c r="F6" i="1"/>
  <c r="E6" i="1"/>
  <c r="D6" i="1"/>
  <c r="C6" i="1"/>
  <c r="D25" i="2" l="1"/>
</calcChain>
</file>

<file path=xl/sharedStrings.xml><?xml version="1.0" encoding="utf-8"?>
<sst xmlns="http://schemas.openxmlformats.org/spreadsheetml/2006/main" count="71" uniqueCount="46">
  <si>
    <t>Analiza izvedivosti</t>
  </si>
  <si>
    <t>Web portal</t>
  </si>
  <si>
    <t>Mobilna aplikacija</t>
  </si>
  <si>
    <t>Nadogradnja</t>
  </si>
  <si>
    <t>Operativna</t>
  </si>
  <si>
    <t>Tehnička</t>
  </si>
  <si>
    <t>Vremenska</t>
  </si>
  <si>
    <t>Ekonomska</t>
  </si>
  <si>
    <t>Ocjena alternative</t>
  </si>
  <si>
    <t>Izrada vlastitog</t>
  </si>
  <si>
    <t>Nabava gotovog</t>
  </si>
  <si>
    <t>Konačan prijedlog
 alternative</t>
  </si>
  <si>
    <t>x</t>
  </si>
  <si>
    <t>Arhiva usluga</t>
  </si>
  <si>
    <t>Sučelje za notare</t>
  </si>
  <si>
    <t>Proces rezervacije usluga</t>
  </si>
  <si>
    <t>Analiza troškova</t>
  </si>
  <si>
    <t>Ljudski rad</t>
  </si>
  <si>
    <t>Funkcija</t>
  </si>
  <si>
    <t>Količina (u satima)</t>
  </si>
  <si>
    <t>Cijena (po satu)</t>
  </si>
  <si>
    <t>Ukupno</t>
  </si>
  <si>
    <t>Analitičar sustava</t>
  </si>
  <si>
    <t>Programer</t>
  </si>
  <si>
    <t>Dizajner baze podataka</t>
  </si>
  <si>
    <t>Edukacije</t>
  </si>
  <si>
    <t>Vrsta</t>
  </si>
  <si>
    <t>Količina (u danima)</t>
  </si>
  <si>
    <t>Cijena (po danu)</t>
  </si>
  <si>
    <t>Poduke za programere</t>
  </si>
  <si>
    <t>Poduka za korisnike</t>
  </si>
  <si>
    <t>Materijal</t>
  </si>
  <si>
    <t>Cijena</t>
  </si>
  <si>
    <t>Potrošni materijal</t>
  </si>
  <si>
    <t>Literatura</t>
  </si>
  <si>
    <t>Oprema</t>
  </si>
  <si>
    <t>Količina</t>
  </si>
  <si>
    <t>Cijena (po komadu)</t>
  </si>
  <si>
    <t>MS Office licence</t>
  </si>
  <si>
    <t>Windows licence</t>
  </si>
  <si>
    <t>Web server</t>
  </si>
  <si>
    <t>UKUPNO</t>
  </si>
  <si>
    <t>Pretraga i filtriranje notara</t>
  </si>
  <si>
    <t>Sustav za slanje žalbi</t>
  </si>
  <si>
    <t>Sigurnost i autentifikacija korisnika</t>
  </si>
  <si>
    <t>Evidencija i praćenje predmeta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</si>
</sst>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238"/>
      <scheme val="minor"/>
    </font>
    <font>
      <b/>
      <sz val="13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7" xfId="0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29" xfId="0" applyFont="1" applyBorder="1"/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0" fillId="0" borderId="33" xfId="0" applyBorder="1"/>
    <xf numFmtId="0" fontId="0" fillId="0" borderId="34" xfId="0" applyBorder="1" applyAlignment="1">
      <alignment horizontal="center"/>
    </xf>
    <xf numFmtId="0" fontId="0" fillId="0" borderId="35" xfId="0" applyBorder="1"/>
    <xf numFmtId="0" fontId="0" fillId="0" borderId="36" xfId="0" applyBorder="1" applyAlignment="1">
      <alignment horizontal="center"/>
    </xf>
    <xf numFmtId="0" fontId="0" fillId="0" borderId="37" xfId="0" applyBorder="1"/>
    <xf numFmtId="0" fontId="0" fillId="0" borderId="38" xfId="0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4" fillId="0" borderId="33" xfId="0" applyFont="1" applyBorder="1"/>
    <xf numFmtId="0" fontId="4" fillId="0" borderId="34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3AC03-C141-4D3E-AA63-57C6A7835EC5}">
  <dimension ref="A1:L20"/>
  <sheetViews>
    <sheetView tabSelected="1" workbookViewId="0">
      <selection activeCell="I16" sqref="I16"/>
    </sheetView>
  </sheetViews>
  <sheetFormatPr defaultRowHeight="14.4" x14ac:dyDescent="0.3"/>
  <cols>
    <col min="1" max="1" width="18.33203125" customWidth="1"/>
    <col min="2" max="2" width="18.21875" customWidth="1"/>
    <col min="3" max="3" width="16.88671875" customWidth="1"/>
    <col min="4" max="4" width="17.109375" customWidth="1"/>
    <col min="5" max="5" width="13.6640625" customWidth="1"/>
    <col min="6" max="6" width="14.44140625" customWidth="1"/>
    <col min="7" max="7" width="16.6640625" customWidth="1"/>
    <col min="8" max="8" width="20.5546875" customWidth="1"/>
    <col min="9" max="9" width="15" customWidth="1"/>
    <col min="10" max="10" width="19.109375" customWidth="1"/>
    <col min="11" max="11" width="17.109375" customWidth="1"/>
  </cols>
  <sheetData>
    <row r="1" spans="1:12" ht="43.8" thickBot="1" x14ac:dyDescent="0.35">
      <c r="A1" s="1" t="s">
        <v>0</v>
      </c>
      <c r="B1" s="2"/>
      <c r="C1" s="3" t="s">
        <v>13</v>
      </c>
      <c r="D1" s="4" t="s">
        <v>44</v>
      </c>
      <c r="E1" s="4" t="s">
        <v>14</v>
      </c>
      <c r="F1" s="4" t="s">
        <v>42</v>
      </c>
      <c r="G1" s="4" t="s">
        <v>15</v>
      </c>
      <c r="H1" s="4" t="s">
        <v>45</v>
      </c>
      <c r="I1" s="4" t="s">
        <v>43</v>
      </c>
      <c r="J1" s="4" t="s">
        <v>1</v>
      </c>
      <c r="K1" s="5" t="s">
        <v>2</v>
      </c>
      <c r="L1" s="6"/>
    </row>
    <row r="2" spans="1:12" x14ac:dyDescent="0.3">
      <c r="A2" s="7" t="s">
        <v>3</v>
      </c>
      <c r="B2" s="8" t="s">
        <v>4</v>
      </c>
      <c r="C2" s="9">
        <v>3</v>
      </c>
      <c r="D2" s="10">
        <v>2</v>
      </c>
      <c r="E2" s="10">
        <v>2</v>
      </c>
      <c r="F2" s="10">
        <v>2</v>
      </c>
      <c r="G2" s="10">
        <v>3</v>
      </c>
      <c r="H2" s="10">
        <v>3</v>
      </c>
      <c r="I2" s="10">
        <v>1</v>
      </c>
      <c r="J2" s="10">
        <v>1</v>
      </c>
      <c r="K2" s="11">
        <v>0</v>
      </c>
    </row>
    <row r="3" spans="1:12" x14ac:dyDescent="0.3">
      <c r="A3" s="12"/>
      <c r="B3" s="13" t="s">
        <v>5</v>
      </c>
      <c r="C3" s="14">
        <v>3</v>
      </c>
      <c r="D3" s="15">
        <v>2</v>
      </c>
      <c r="E3" s="15">
        <v>3</v>
      </c>
      <c r="F3" s="15">
        <v>2</v>
      </c>
      <c r="G3" s="15">
        <v>3</v>
      </c>
      <c r="H3" s="15">
        <v>3</v>
      </c>
      <c r="I3" s="15">
        <v>1</v>
      </c>
      <c r="J3" s="15">
        <v>1</v>
      </c>
      <c r="K3" s="16">
        <v>1</v>
      </c>
    </row>
    <row r="4" spans="1:12" x14ac:dyDescent="0.3">
      <c r="A4" s="12"/>
      <c r="B4" s="13" t="s">
        <v>6</v>
      </c>
      <c r="C4" s="14">
        <v>2</v>
      </c>
      <c r="D4" s="15">
        <v>2</v>
      </c>
      <c r="E4" s="15">
        <v>2</v>
      </c>
      <c r="F4" s="15">
        <v>3</v>
      </c>
      <c r="G4" s="15">
        <v>2</v>
      </c>
      <c r="H4" s="15">
        <v>2</v>
      </c>
      <c r="I4" s="15">
        <v>2</v>
      </c>
      <c r="J4" s="15">
        <v>0</v>
      </c>
      <c r="K4" s="16">
        <v>1</v>
      </c>
    </row>
    <row r="5" spans="1:12" ht="15" thickBot="1" x14ac:dyDescent="0.35">
      <c r="A5" s="17"/>
      <c r="B5" s="18" t="s">
        <v>7</v>
      </c>
      <c r="C5" s="19">
        <v>2</v>
      </c>
      <c r="D5" s="20">
        <v>1</v>
      </c>
      <c r="E5" s="20">
        <v>1</v>
      </c>
      <c r="F5" s="20">
        <v>2</v>
      </c>
      <c r="G5" s="20">
        <v>2</v>
      </c>
      <c r="H5" s="20">
        <v>2</v>
      </c>
      <c r="I5" s="20">
        <v>1</v>
      </c>
      <c r="J5" s="20">
        <v>0</v>
      </c>
      <c r="K5" s="21">
        <v>1</v>
      </c>
    </row>
    <row r="6" spans="1:12" ht="15" thickBot="1" x14ac:dyDescent="0.35">
      <c r="A6" s="22" t="s">
        <v>8</v>
      </c>
      <c r="B6" s="23"/>
      <c r="C6" s="24">
        <f>AVERAGE(C2:C5)</f>
        <v>2.5</v>
      </c>
      <c r="D6" s="24">
        <f t="shared" ref="D6:K6" si="0">AVERAGE(D2:D5)</f>
        <v>1.75</v>
      </c>
      <c r="E6" s="24">
        <f t="shared" si="0"/>
        <v>2</v>
      </c>
      <c r="F6" s="24">
        <f t="shared" si="0"/>
        <v>2.25</v>
      </c>
      <c r="G6" s="24">
        <f t="shared" si="0"/>
        <v>2.5</v>
      </c>
      <c r="H6" s="24">
        <f t="shared" si="0"/>
        <v>2.5</v>
      </c>
      <c r="I6" s="24">
        <f t="shared" si="0"/>
        <v>1.25</v>
      </c>
      <c r="J6" s="24">
        <f t="shared" si="0"/>
        <v>0.5</v>
      </c>
      <c r="K6" s="24">
        <f t="shared" si="0"/>
        <v>0.75</v>
      </c>
    </row>
    <row r="7" spans="1:12" x14ac:dyDescent="0.3">
      <c r="A7" s="7" t="s">
        <v>9</v>
      </c>
      <c r="B7" s="8" t="s">
        <v>4</v>
      </c>
      <c r="C7" s="25">
        <v>3</v>
      </c>
      <c r="D7" s="26">
        <v>3</v>
      </c>
      <c r="E7" s="26">
        <v>3</v>
      </c>
      <c r="F7" s="26">
        <v>3</v>
      </c>
      <c r="G7" s="26">
        <v>3</v>
      </c>
      <c r="H7" s="26">
        <v>3</v>
      </c>
      <c r="I7" s="26">
        <v>2</v>
      </c>
      <c r="J7" s="26">
        <v>1</v>
      </c>
      <c r="K7" s="27">
        <v>1</v>
      </c>
    </row>
    <row r="8" spans="1:12" x14ac:dyDescent="0.3">
      <c r="A8" s="12"/>
      <c r="B8" s="13" t="s">
        <v>5</v>
      </c>
      <c r="C8" s="14">
        <v>2</v>
      </c>
      <c r="D8" s="15">
        <v>3</v>
      </c>
      <c r="E8" s="15">
        <v>3</v>
      </c>
      <c r="F8" s="15">
        <v>2</v>
      </c>
      <c r="G8" s="15">
        <v>2</v>
      </c>
      <c r="H8" s="15">
        <v>2</v>
      </c>
      <c r="I8" s="15">
        <v>2</v>
      </c>
      <c r="J8" s="15">
        <v>2</v>
      </c>
      <c r="K8" s="16">
        <v>1</v>
      </c>
    </row>
    <row r="9" spans="1:12" x14ac:dyDescent="0.3">
      <c r="A9" s="12"/>
      <c r="B9" s="13" t="s">
        <v>6</v>
      </c>
      <c r="C9" s="14">
        <v>2</v>
      </c>
      <c r="D9" s="15">
        <v>2</v>
      </c>
      <c r="E9" s="15">
        <v>3</v>
      </c>
      <c r="F9" s="15">
        <v>3</v>
      </c>
      <c r="G9" s="15">
        <v>1</v>
      </c>
      <c r="H9" s="15">
        <v>2</v>
      </c>
      <c r="I9" s="15">
        <v>2</v>
      </c>
      <c r="J9" s="15">
        <v>2</v>
      </c>
      <c r="K9" s="16">
        <v>1</v>
      </c>
    </row>
    <row r="10" spans="1:12" ht="15" thickBot="1" x14ac:dyDescent="0.35">
      <c r="A10" s="17"/>
      <c r="B10" s="18" t="s">
        <v>7</v>
      </c>
      <c r="C10" s="19">
        <v>1</v>
      </c>
      <c r="D10" s="20">
        <v>2</v>
      </c>
      <c r="E10" s="20">
        <v>3</v>
      </c>
      <c r="F10" s="20">
        <v>3</v>
      </c>
      <c r="G10" s="20">
        <v>1</v>
      </c>
      <c r="H10" s="20">
        <v>1</v>
      </c>
      <c r="I10" s="20">
        <v>1</v>
      </c>
      <c r="J10" s="20">
        <v>2</v>
      </c>
      <c r="K10" s="21">
        <v>1</v>
      </c>
    </row>
    <row r="11" spans="1:12" ht="15" thickBot="1" x14ac:dyDescent="0.35">
      <c r="A11" s="22" t="s">
        <v>8</v>
      </c>
      <c r="B11" s="23"/>
      <c r="C11" s="24">
        <f>AVERAGE(C7:C10)</f>
        <v>2</v>
      </c>
      <c r="D11" s="24">
        <f t="shared" ref="D11:K11" si="1">AVERAGE(D7:D10)</f>
        <v>2.5</v>
      </c>
      <c r="E11" s="24">
        <f t="shared" si="1"/>
        <v>3</v>
      </c>
      <c r="F11" s="24">
        <f t="shared" si="1"/>
        <v>2.75</v>
      </c>
      <c r="G11" s="24">
        <f t="shared" si="1"/>
        <v>1.75</v>
      </c>
      <c r="H11" s="24">
        <f t="shared" si="1"/>
        <v>2</v>
      </c>
      <c r="I11" s="24">
        <f t="shared" si="1"/>
        <v>1.75</v>
      </c>
      <c r="J11" s="24">
        <f t="shared" si="1"/>
        <v>1.75</v>
      </c>
      <c r="K11" s="24">
        <f t="shared" si="1"/>
        <v>1</v>
      </c>
    </row>
    <row r="12" spans="1:12" x14ac:dyDescent="0.3">
      <c r="A12" s="7" t="s">
        <v>10</v>
      </c>
      <c r="B12" s="8" t="s">
        <v>4</v>
      </c>
      <c r="C12" s="25">
        <v>2</v>
      </c>
      <c r="D12" s="26">
        <v>2</v>
      </c>
      <c r="E12" s="26">
        <v>2</v>
      </c>
      <c r="F12" s="26">
        <v>2</v>
      </c>
      <c r="G12" s="26">
        <v>2</v>
      </c>
      <c r="H12" s="26">
        <v>2</v>
      </c>
      <c r="I12" s="26">
        <v>3</v>
      </c>
      <c r="J12" s="26">
        <v>3</v>
      </c>
      <c r="K12" s="27">
        <v>3</v>
      </c>
    </row>
    <row r="13" spans="1:12" x14ac:dyDescent="0.3">
      <c r="A13" s="12"/>
      <c r="B13" s="13" t="s">
        <v>5</v>
      </c>
      <c r="C13" s="14">
        <v>2</v>
      </c>
      <c r="D13" s="15">
        <v>2</v>
      </c>
      <c r="E13" s="15">
        <v>2</v>
      </c>
      <c r="F13" s="15">
        <v>2</v>
      </c>
      <c r="G13" s="15">
        <v>2</v>
      </c>
      <c r="H13" s="15">
        <v>2</v>
      </c>
      <c r="I13" s="15">
        <v>3</v>
      </c>
      <c r="J13" s="15">
        <v>3</v>
      </c>
      <c r="K13" s="16">
        <v>3</v>
      </c>
    </row>
    <row r="14" spans="1:12" x14ac:dyDescent="0.3">
      <c r="A14" s="12"/>
      <c r="B14" s="13" t="s">
        <v>6</v>
      </c>
      <c r="C14" s="14">
        <v>3</v>
      </c>
      <c r="D14" s="15">
        <v>3</v>
      </c>
      <c r="E14" s="15">
        <v>3</v>
      </c>
      <c r="F14" s="15">
        <v>1</v>
      </c>
      <c r="G14" s="15">
        <v>3</v>
      </c>
      <c r="H14" s="15">
        <v>3</v>
      </c>
      <c r="I14" s="15">
        <v>3</v>
      </c>
      <c r="J14" s="15">
        <v>2</v>
      </c>
      <c r="K14" s="16">
        <v>3</v>
      </c>
    </row>
    <row r="15" spans="1:12" ht="15" thickBot="1" x14ac:dyDescent="0.35">
      <c r="A15" s="17"/>
      <c r="B15" s="18" t="s">
        <v>7</v>
      </c>
      <c r="C15" s="19">
        <v>2</v>
      </c>
      <c r="D15" s="20">
        <v>2</v>
      </c>
      <c r="E15" s="20">
        <v>2</v>
      </c>
      <c r="F15" s="20">
        <v>2</v>
      </c>
      <c r="G15" s="20">
        <v>2</v>
      </c>
      <c r="H15" s="20">
        <v>2</v>
      </c>
      <c r="I15" s="20">
        <v>2</v>
      </c>
      <c r="J15" s="20">
        <v>2</v>
      </c>
      <c r="K15" s="21">
        <v>3</v>
      </c>
    </row>
    <row r="16" spans="1:12" ht="15" thickBot="1" x14ac:dyDescent="0.35">
      <c r="A16" s="28" t="s">
        <v>8</v>
      </c>
      <c r="B16" s="29"/>
      <c r="C16" s="24">
        <f>AVERAGE(C12:C15)</f>
        <v>2.25</v>
      </c>
      <c r="D16" s="24">
        <f t="shared" ref="D16:K16" si="2">AVERAGE(D12:D15)</f>
        <v>2.25</v>
      </c>
      <c r="E16" s="24">
        <f t="shared" si="2"/>
        <v>2.25</v>
      </c>
      <c r="F16" s="24">
        <f t="shared" si="2"/>
        <v>1.75</v>
      </c>
      <c r="G16" s="24">
        <f t="shared" si="2"/>
        <v>2.25</v>
      </c>
      <c r="H16" s="24">
        <f t="shared" si="2"/>
        <v>2.25</v>
      </c>
      <c r="I16" s="24">
        <f t="shared" si="2"/>
        <v>2.75</v>
      </c>
      <c r="J16" s="24">
        <f t="shared" si="2"/>
        <v>2.5</v>
      </c>
      <c r="K16" s="24">
        <f t="shared" si="2"/>
        <v>3</v>
      </c>
    </row>
    <row r="17" spans="1:11" ht="15" thickBot="1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x14ac:dyDescent="0.3">
      <c r="A18" s="30" t="s">
        <v>11</v>
      </c>
      <c r="B18" s="8" t="s">
        <v>3</v>
      </c>
      <c r="C18" s="63" t="s">
        <v>12</v>
      </c>
      <c r="D18" s="10"/>
      <c r="E18" s="10"/>
      <c r="F18" s="10"/>
      <c r="G18" s="31" t="s">
        <v>12</v>
      </c>
      <c r="H18" s="31" t="s">
        <v>12</v>
      </c>
      <c r="I18" s="10"/>
      <c r="J18" s="10"/>
      <c r="K18" s="11"/>
    </row>
    <row r="19" spans="1:11" x14ac:dyDescent="0.3">
      <c r="A19" s="12"/>
      <c r="B19" s="13" t="s">
        <v>9</v>
      </c>
      <c r="C19" s="32"/>
      <c r="D19" s="33" t="s">
        <v>12</v>
      </c>
      <c r="E19" s="33" t="s">
        <v>12</v>
      </c>
      <c r="F19" s="33" t="s">
        <v>12</v>
      </c>
      <c r="G19" s="15"/>
      <c r="H19" s="15"/>
      <c r="I19" s="15"/>
      <c r="J19" s="15"/>
      <c r="K19" s="16"/>
    </row>
    <row r="20" spans="1:11" ht="15" thickBot="1" x14ac:dyDescent="0.35">
      <c r="A20" s="17"/>
      <c r="B20" s="18" t="s">
        <v>10</v>
      </c>
      <c r="C20" s="34"/>
      <c r="D20" s="35"/>
      <c r="E20" s="35"/>
      <c r="F20" s="35"/>
      <c r="G20" s="35"/>
      <c r="H20" s="35"/>
      <c r="I20" s="36" t="s">
        <v>12</v>
      </c>
      <c r="J20" s="36" t="s">
        <v>12</v>
      </c>
      <c r="K20" s="37" t="s">
        <v>12</v>
      </c>
    </row>
  </sheetData>
  <mergeCells count="8">
    <mergeCell ref="A1:B1"/>
    <mergeCell ref="A2:A5"/>
    <mergeCell ref="A6:B6"/>
    <mergeCell ref="A7:A10"/>
    <mergeCell ref="A11:B11"/>
    <mergeCell ref="A12:A15"/>
    <mergeCell ref="A16:B16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A94DF-C4DA-4451-BBAA-843240E044A2}">
  <dimension ref="A1:D26"/>
  <sheetViews>
    <sheetView workbookViewId="0">
      <selection activeCell="E14" sqref="E14"/>
    </sheetView>
  </sheetViews>
  <sheetFormatPr defaultRowHeight="14.4" x14ac:dyDescent="0.3"/>
  <cols>
    <col min="1" max="1" width="24.88671875" customWidth="1"/>
    <col min="2" max="2" width="22.5546875" customWidth="1"/>
    <col min="3" max="3" width="14" customWidth="1"/>
    <col min="4" max="4" width="24.88671875" customWidth="1"/>
    <col min="5" max="5" width="29.21875" customWidth="1"/>
  </cols>
  <sheetData>
    <row r="1" spans="1:4" ht="17.399999999999999" x14ac:dyDescent="0.35">
      <c r="A1" s="38" t="s">
        <v>16</v>
      </c>
      <c r="B1" s="6"/>
      <c r="C1" s="6"/>
      <c r="D1" s="6"/>
    </row>
    <row r="2" spans="1:4" x14ac:dyDescent="0.3">
      <c r="B2" s="6"/>
      <c r="C2" s="6"/>
      <c r="D2" s="6"/>
    </row>
    <row r="3" spans="1:4" ht="15" thickBot="1" x14ac:dyDescent="0.35">
      <c r="A3" s="39" t="s">
        <v>17</v>
      </c>
      <c r="B3" s="6"/>
      <c r="C3" s="6"/>
      <c r="D3" s="6"/>
    </row>
    <row r="4" spans="1:4" ht="15" thickBot="1" x14ac:dyDescent="0.35">
      <c r="A4" s="40" t="s">
        <v>18</v>
      </c>
      <c r="B4" s="41" t="s">
        <v>19</v>
      </c>
      <c r="C4" s="42" t="s">
        <v>20</v>
      </c>
      <c r="D4" s="43" t="s">
        <v>21</v>
      </c>
    </row>
    <row r="5" spans="1:4" x14ac:dyDescent="0.3">
      <c r="A5" s="44" t="s">
        <v>22</v>
      </c>
      <c r="B5" s="45">
        <v>450</v>
      </c>
      <c r="C5" s="26">
        <v>30</v>
      </c>
      <c r="D5" s="27">
        <f>B5*C5</f>
        <v>13500</v>
      </c>
    </row>
    <row r="6" spans="1:4" x14ac:dyDescent="0.3">
      <c r="A6" s="46" t="s">
        <v>23</v>
      </c>
      <c r="B6" s="47">
        <v>280</v>
      </c>
      <c r="C6" s="15">
        <v>40</v>
      </c>
      <c r="D6" s="16">
        <f t="shared" ref="D6:D7" si="0">B6*C6</f>
        <v>11200</v>
      </c>
    </row>
    <row r="7" spans="1:4" x14ac:dyDescent="0.3">
      <c r="A7" s="46" t="s">
        <v>24</v>
      </c>
      <c r="B7" s="47">
        <v>190</v>
      </c>
      <c r="C7" s="15">
        <v>42</v>
      </c>
      <c r="D7" s="16">
        <f t="shared" si="0"/>
        <v>7980</v>
      </c>
    </row>
    <row r="8" spans="1:4" x14ac:dyDescent="0.3">
      <c r="B8" s="6"/>
      <c r="C8" s="6"/>
      <c r="D8" s="6"/>
    </row>
    <row r="9" spans="1:4" ht="15" thickBot="1" x14ac:dyDescent="0.35">
      <c r="A9" s="51" t="s">
        <v>25</v>
      </c>
      <c r="B9" s="52"/>
      <c r="C9" s="52"/>
      <c r="D9" s="52"/>
    </row>
    <row r="10" spans="1:4" ht="15" thickBot="1" x14ac:dyDescent="0.35">
      <c r="A10" s="40" t="s">
        <v>26</v>
      </c>
      <c r="B10" s="41" t="s">
        <v>27</v>
      </c>
      <c r="C10" s="42" t="s">
        <v>28</v>
      </c>
      <c r="D10" s="43" t="s">
        <v>21</v>
      </c>
    </row>
    <row r="11" spans="1:4" x14ac:dyDescent="0.3">
      <c r="A11" s="44" t="s">
        <v>29</v>
      </c>
      <c r="B11" s="45">
        <v>3</v>
      </c>
      <c r="C11" s="26">
        <v>350</v>
      </c>
      <c r="D11" s="27">
        <f>B11*C11</f>
        <v>1050</v>
      </c>
    </row>
    <row r="12" spans="1:4" ht="15" thickBot="1" x14ac:dyDescent="0.35">
      <c r="A12" s="48" t="s">
        <v>30</v>
      </c>
      <c r="B12" s="49">
        <v>5</v>
      </c>
      <c r="C12" s="35">
        <v>250</v>
      </c>
      <c r="D12" s="50">
        <f>B12*C12</f>
        <v>1250</v>
      </c>
    </row>
    <row r="13" spans="1:4" x14ac:dyDescent="0.3">
      <c r="B13" s="6"/>
      <c r="C13" s="6"/>
      <c r="D13" s="6"/>
    </row>
    <row r="14" spans="1:4" ht="15" thickBot="1" x14ac:dyDescent="0.35">
      <c r="A14" s="39" t="s">
        <v>31</v>
      </c>
      <c r="B14" s="6"/>
      <c r="C14" s="6"/>
      <c r="D14" s="6"/>
    </row>
    <row r="15" spans="1:4" ht="15" thickBot="1" x14ac:dyDescent="0.35">
      <c r="A15" s="40" t="s">
        <v>26</v>
      </c>
      <c r="B15" s="53"/>
      <c r="C15" s="54"/>
      <c r="D15" s="43" t="s">
        <v>32</v>
      </c>
    </row>
    <row r="16" spans="1:4" x14ac:dyDescent="0.3">
      <c r="A16" s="44" t="s">
        <v>33</v>
      </c>
      <c r="B16" s="45"/>
      <c r="C16" s="26"/>
      <c r="D16" s="27">
        <v>500</v>
      </c>
    </row>
    <row r="17" spans="1:4" ht="15" thickBot="1" x14ac:dyDescent="0.35">
      <c r="A17" s="48" t="s">
        <v>34</v>
      </c>
      <c r="B17" s="49"/>
      <c r="C17" s="35"/>
      <c r="D17" s="50">
        <v>450</v>
      </c>
    </row>
    <row r="18" spans="1:4" x14ac:dyDescent="0.3">
      <c r="B18" s="6"/>
      <c r="C18" s="6"/>
      <c r="D18" s="6"/>
    </row>
    <row r="19" spans="1:4" ht="15" thickBot="1" x14ac:dyDescent="0.35">
      <c r="A19" s="39" t="s">
        <v>35</v>
      </c>
      <c r="B19" s="6"/>
      <c r="C19" s="6"/>
      <c r="D19" s="6"/>
    </row>
    <row r="20" spans="1:4" ht="15" thickBot="1" x14ac:dyDescent="0.35">
      <c r="A20" s="40" t="s">
        <v>26</v>
      </c>
      <c r="B20" s="41" t="s">
        <v>36</v>
      </c>
      <c r="C20" s="42" t="s">
        <v>37</v>
      </c>
      <c r="D20" s="43" t="s">
        <v>21</v>
      </c>
    </row>
    <row r="21" spans="1:4" x14ac:dyDescent="0.3">
      <c r="A21" s="55" t="s">
        <v>38</v>
      </c>
      <c r="B21" s="56">
        <v>3</v>
      </c>
      <c r="C21" s="57">
        <v>500</v>
      </c>
      <c r="D21" s="27">
        <f>B21*C21</f>
        <v>1500</v>
      </c>
    </row>
    <row r="22" spans="1:4" x14ac:dyDescent="0.3">
      <c r="A22" s="46" t="s">
        <v>39</v>
      </c>
      <c r="B22" s="58">
        <v>3</v>
      </c>
      <c r="C22" s="15">
        <v>200</v>
      </c>
      <c r="D22" s="16">
        <f>B22*C22</f>
        <v>600</v>
      </c>
    </row>
    <row r="23" spans="1:4" x14ac:dyDescent="0.3">
      <c r="A23" s="46" t="s">
        <v>40</v>
      </c>
      <c r="B23" s="47">
        <v>1</v>
      </c>
      <c r="C23" s="15">
        <v>500</v>
      </c>
      <c r="D23" s="16">
        <f t="shared" ref="D23" si="1">B23*C23</f>
        <v>500</v>
      </c>
    </row>
    <row r="24" spans="1:4" ht="15" thickBot="1" x14ac:dyDescent="0.35">
      <c r="B24" s="6"/>
      <c r="C24" s="6"/>
      <c r="D24" s="6"/>
    </row>
    <row r="25" spans="1:4" ht="15" thickBot="1" x14ac:dyDescent="0.35">
      <c r="A25" s="59" t="s">
        <v>41</v>
      </c>
      <c r="B25" s="60"/>
      <c r="C25" s="61"/>
      <c r="D25" s="62">
        <f>SUM(D1:D24)</f>
        <v>38530</v>
      </c>
    </row>
    <row r="26" spans="1:4" x14ac:dyDescent="0.3">
      <c r="B26" s="6"/>
      <c r="C26" s="6"/>
      <c r="D26" s="6"/>
    </row>
  </sheetData>
  <mergeCells count="1">
    <mergeCell ref="A25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Analiza izvedivosti</vt:lpstr>
      <vt:lpstr>Analiza troškova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Petar Vladić</dc:creator>
  <cp:lastModifiedBy>Petar Vladić</cp:lastModifiedBy>
  <dcterms:created xsi:type="dcterms:W3CDTF">2026-04-21T10:46:22Z</dcterms:created>
  <dcterms:modified xsi:type="dcterms:W3CDTF">2026-04-21T11:50:56Z</dcterms:modified>
</cp:coreProperties>
</file>